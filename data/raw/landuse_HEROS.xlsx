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hu/Library/CloudStorage/Box-Box/ADAPT-CHU Research Folder/^Heat Stress CEHRT Grant/Sensor Data/Site Data Analysis (Kestrel, Purple Air, Weather Station, Visual Assessments)/dataset for PHPCM course/"/>
    </mc:Choice>
  </mc:AlternateContent>
  <xr:revisionPtr revIDLastSave="0" documentId="8_{B9B214E1-AB90-2449-B119-BB108165ED1D}" xr6:coauthVersionLast="47" xr6:coauthVersionMax="47" xr10:uidLastSave="{00000000-0000-0000-0000-000000000000}"/>
  <bookViews>
    <workbookView xWindow="0" yWindow="1340" windowWidth="36000" windowHeight="20440" activeTab="1" xr2:uid="{7670ED77-5245-4C78-831A-5324EE7695CE}"/>
  </bookViews>
  <sheets>
    <sheet name="data" sheetId="1" r:id="rId1"/>
    <sheet name="meta" sheetId="2" r:id="rId2"/>
  </sheets>
  <definedNames>
    <definedName name="_xlnm._FilterDatabase" localSheetId="0" hidden="1">data!$A$1:$H$25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C4" i="1"/>
  <c r="C2" i="1"/>
  <c r="C24" i="1"/>
  <c r="C18" i="1"/>
  <c r="C8" i="1"/>
  <c r="C14" i="1"/>
  <c r="C6" i="1"/>
  <c r="C10" i="1"/>
  <c r="C12" i="1"/>
  <c r="C16" i="1"/>
  <c r="C21" i="1"/>
  <c r="C23" i="1"/>
  <c r="C5" i="1"/>
  <c r="C3" i="1"/>
  <c r="C25" i="1"/>
  <c r="C19" i="1"/>
  <c r="C9" i="1"/>
  <c r="C15" i="1"/>
  <c r="C7" i="1"/>
  <c r="C11" i="1"/>
  <c r="C13" i="1"/>
  <c r="C17" i="1"/>
  <c r="C20" i="1"/>
</calcChain>
</file>

<file path=xl/sharedStrings.xml><?xml version="1.0" encoding="utf-8"?>
<sst xmlns="http://schemas.openxmlformats.org/spreadsheetml/2006/main" count="57" uniqueCount="37">
  <si>
    <t>Site</t>
  </si>
  <si>
    <t>Distance</t>
  </si>
  <si>
    <t>Reggie Wong</t>
  </si>
  <si>
    <t>Tai Tung</t>
  </si>
  <si>
    <t>Castle Square</t>
  </si>
  <si>
    <t>Berkeley Garden</t>
  </si>
  <si>
    <t>Tufts Community Garden</t>
  </si>
  <si>
    <t>Oxford Place</t>
  </si>
  <si>
    <t>Dewey Square</t>
  </si>
  <si>
    <t>Mary Soo Hoo Park</t>
  </si>
  <si>
    <t>Chin Park</t>
  </si>
  <si>
    <t>Eliot Norton Park</t>
  </si>
  <si>
    <t>Lyndboro Park</t>
  </si>
  <si>
    <t>One Greenway</t>
  </si>
  <si>
    <t>All areas are measured in square meters and the buffers are 25m and 50m buffers</t>
  </si>
  <si>
    <t>Land Cover/Land Use: MassGIS 2016 LCLU dataset class codes were used (https://www.mass.gov/info-details/massgis-data-2016-land-coverland-use)</t>
  </si>
  <si>
    <t>Greenspace: land cover data for developed open space, grassland, and scrub/shrub (see above) was visually inspected and manually corrected by cross-referencing the open space layer (https://www.mass.gov/info-details/massgis-data-protected-and-recreational-openspace) and using aerial imagery from 2023 (see above)</t>
  </si>
  <si>
    <t>Trees: most recent tree data with high resolution was 2019 canopy change assessment tree canopy polgyons from Analyze Boston (https://data.boston.gov/dataset/canopy-change-assessment-2019-tree-canopy-polygons)</t>
  </si>
  <si>
    <t>Buffer_Area_msq</t>
  </si>
  <si>
    <t>Roads_Area_Percent</t>
  </si>
  <si>
    <t>Greenspace_Area_Percent</t>
  </si>
  <si>
    <t>Trees_Area_Percent</t>
  </si>
  <si>
    <t>Impervious_Area_Percent</t>
  </si>
  <si>
    <t>Industrial_Area_Percent</t>
  </si>
  <si>
    <t>Data sources:</t>
  </si>
  <si>
    <t>Codebook:</t>
  </si>
  <si>
    <t>Variables</t>
  </si>
  <si>
    <t>Label</t>
  </si>
  <si>
    <t>site ID</t>
  </si>
  <si>
    <t>radius from center of site (meters)</t>
  </si>
  <si>
    <t>total area in circular buffer based on radiums (meter squared)</t>
  </si>
  <si>
    <t>percent of buffer containing major roads (%)</t>
  </si>
  <si>
    <t>percent of buffer containing trees (%)</t>
  </si>
  <si>
    <t>percent of buffer containing any green space (%)</t>
  </si>
  <si>
    <t>percent of buffer containing impervious roads (%)</t>
  </si>
  <si>
    <t>percent of buffer containing industrial buildings roads (%)</t>
  </si>
  <si>
    <r>
      <t>Roads: </t>
    </r>
    <r>
      <rPr>
        <sz val="12"/>
        <color rgb="FF000000"/>
        <rFont val="Calibri"/>
        <family val="2"/>
      </rPr>
      <t>polygons were digitized from MassGIS aerial ortho imagery from 2023</t>
    </r>
    <r>
      <rPr>
        <b/>
        <sz val="12"/>
        <color rgb="FF000000"/>
        <rFont val="Calibri"/>
        <family val="2"/>
      </rPr>
      <t> (</t>
    </r>
    <r>
      <rPr>
        <sz val="12"/>
        <color rgb="FF000000"/>
        <rFont val="Calibri"/>
        <family val="2"/>
      </rPr>
      <t>https://www.mass.gov/info-details/massgis-data-2023-aerial-imagery) for roads with major designation (see EOTMAJROADS_ARC) according to MassGIS-MassDOT roads data (https://www.mass.gov/info-details/massgis-data-massgis-massdot-roads)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</si>
</sst>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u/>
      <sz val="12"/>
      <color theme="1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10" fontId="0" fillId="0" borderId="0" xfId="0" applyNumberFormat="1"/>
    <xf numFmtId="0" fontId="1" fillId="0" borderId="0" xfId="0" applyFont="1" applyAlignment="1">
      <alignment wrapText="1"/>
    </xf>
    <xf numFmtId="10" fontId="1" fillId="0" borderId="0" xfId="0" applyNumberFormat="1" applyFont="1" applyAlignment="1">
      <alignment wrapText="1"/>
    </xf>
    <xf numFmtId="0" fontId="0" fillId="2" borderId="0" xfId="0" applyFill="1"/>
    <xf numFmtId="10" fontId="0" fillId="2" borderId="0" xfId="0" applyNumberFormat="1" applyFill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1" applyFont="1" applyAlignment="1">
      <alignment vertical="top"/>
    </xf>
    <xf numFmtId="0" fontId="8" fillId="0" borderId="0" xfId="0" applyFont="1" applyAlignment="1">
      <alignment vertical="top"/>
    </xf>
    <xf numFmtId="10" fontId="4" fillId="0" borderId="0" xfId="0" applyNumberFormat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rldefense.com/v3/__https:/data.boston.gov/dataset/canopy-change-assessment-2019-tree-canopy-polygons__;!!CYGGtyGZyw!B41yRhF8aNczKjzKdO6PewpSj8AJUo5FFMCHL0i8xM5ybg_vRlGqFsP-j75csDzIK5Gp8NWhFlaD7ZEJv498MjGjcEFD4jDq$" TargetMode="External"/><Relationship Id="rId2" Type="http://schemas.openxmlformats.org/officeDocument/2006/relationships/hyperlink" Target="https://urldefense.com/v3/__https:/www.mass.gov/info-details/massgis-data-protected-and-recreational-openspace__;!!CYGGtyGZyw!B41yRhF8aNczKjzKdO6PewpSj8AJUo5FFMCHL0i8xM5ybg_vRlGqFsP-j75csDzIK5Gp8NWhFlaD7ZEJv498MjGjcBhD2C7N$" TargetMode="External"/><Relationship Id="rId1" Type="http://schemas.openxmlformats.org/officeDocument/2006/relationships/hyperlink" Target="https://urldefense.com/v3/__https:/www.mass.gov/info-details/massgis-data-2016-land-coverland-use__;!!CYGGtyGZyw!B41yRhF8aNczKjzKdO6PewpSj8AJUo5FFMCHL0i8xM5ybg_vRlGqFsP-j75csDzIK5Gp8NWhFlaD7ZEJv498MjGjcBCKL8No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FDA6-FEA0-4AE4-9076-47A10B672CAE}">
  <dimension ref="A1:H25"/>
  <sheetViews>
    <sheetView zoomScale="170" zoomScaleNormal="170" workbookViewId="0">
      <pane ySplit="1" topLeftCell="A2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1" width="23.5" bestFit="1" customWidth="1"/>
    <col min="2" max="2" width="10.83203125" bestFit="1" customWidth="1"/>
    <col min="3" max="3" width="14" bestFit="1" customWidth="1"/>
    <col min="4" max="7" width="10.1640625" bestFit="1" customWidth="1"/>
    <col min="8" max="8" width="10.1640625" style="1" bestFit="1" customWidth="1"/>
  </cols>
  <sheetData>
    <row r="1" spans="1:8" s="2" customFormat="1" ht="48" x14ac:dyDescent="0.2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3" t="s">
        <v>23</v>
      </c>
    </row>
    <row r="2" spans="1:8" x14ac:dyDescent="0.2">
      <c r="A2" t="s">
        <v>5</v>
      </c>
      <c r="B2">
        <v>25</v>
      </c>
      <c r="C2">
        <f t="shared" ref="C2:C25" si="0">PI()*B2^2</f>
        <v>1963.4954084936207</v>
      </c>
      <c r="D2" s="1">
        <v>0.46660928568347942</v>
      </c>
      <c r="E2" s="1">
        <v>0.259756283001085</v>
      </c>
      <c r="F2" s="1">
        <v>0.27402160487494109</v>
      </c>
      <c r="G2" s="1">
        <v>0.6584489820589261</v>
      </c>
      <c r="H2" s="1">
        <v>0</v>
      </c>
    </row>
    <row r="3" spans="1:8" x14ac:dyDescent="0.2">
      <c r="A3" t="s">
        <v>5</v>
      </c>
      <c r="B3">
        <v>50</v>
      </c>
      <c r="C3">
        <f t="shared" si="0"/>
        <v>7853.981633974483</v>
      </c>
      <c r="D3" s="1">
        <v>0.27834682927488785</v>
      </c>
      <c r="E3" s="1">
        <v>0.16816777178171477</v>
      </c>
      <c r="F3" s="1">
        <v>0.33812605309800348</v>
      </c>
      <c r="G3" s="1">
        <v>0.62574128639934212</v>
      </c>
      <c r="H3" s="1">
        <v>0</v>
      </c>
    </row>
    <row r="4" spans="1:8" s="4" customFormat="1" x14ac:dyDescent="0.2">
      <c r="A4" s="4" t="s">
        <v>4</v>
      </c>
      <c r="B4" s="4">
        <v>25</v>
      </c>
      <c r="C4" s="4">
        <f t="shared" si="0"/>
        <v>1963.4954084936207</v>
      </c>
      <c r="D4" s="5">
        <v>0</v>
      </c>
      <c r="E4" s="5">
        <v>0</v>
      </c>
      <c r="F4" s="5">
        <v>0.70726479521814056</v>
      </c>
      <c r="G4" s="5">
        <v>0.2965647933176167</v>
      </c>
      <c r="H4" s="5">
        <v>0</v>
      </c>
    </row>
    <row r="5" spans="1:8" s="4" customFormat="1" x14ac:dyDescent="0.2">
      <c r="A5" s="4" t="s">
        <v>4</v>
      </c>
      <c r="B5" s="4">
        <v>50</v>
      </c>
      <c r="C5" s="4">
        <f t="shared" si="0"/>
        <v>7853.981633974483</v>
      </c>
      <c r="D5" s="5">
        <v>0</v>
      </c>
      <c r="E5" s="5">
        <v>0</v>
      </c>
      <c r="F5" s="5">
        <v>0.67071250080505529</v>
      </c>
      <c r="G5" s="5">
        <v>0.42721408444420372</v>
      </c>
      <c r="H5" s="5">
        <v>0</v>
      </c>
    </row>
    <row r="6" spans="1:8" x14ac:dyDescent="0.2">
      <c r="A6" t="s">
        <v>10</v>
      </c>
      <c r="B6">
        <v>25</v>
      </c>
      <c r="C6">
        <f t="shared" si="0"/>
        <v>1963.4954084936207</v>
      </c>
      <c r="D6" s="1">
        <v>0.24103467263164605</v>
      </c>
      <c r="E6" s="1">
        <v>0.13245282768423899</v>
      </c>
      <c r="F6" s="1">
        <v>0.19925345804610323</v>
      </c>
      <c r="G6" s="1">
        <v>0.86721053516817126</v>
      </c>
      <c r="H6" s="1">
        <v>7.648636831558342E-2</v>
      </c>
    </row>
    <row r="7" spans="1:8" x14ac:dyDescent="0.2">
      <c r="A7" t="s">
        <v>10</v>
      </c>
      <c r="B7">
        <v>50</v>
      </c>
      <c r="C7">
        <f t="shared" si="0"/>
        <v>7853.981633974483</v>
      </c>
      <c r="D7" s="1">
        <v>0.1662158945410441</v>
      </c>
      <c r="E7" s="1">
        <v>5.0865921340057206E-2</v>
      </c>
      <c r="F7" s="1">
        <v>0.16613871216040577</v>
      </c>
      <c r="G7" s="1">
        <v>0.94882448346507187</v>
      </c>
      <c r="H7" s="1">
        <v>0.12381924026831248</v>
      </c>
    </row>
    <row r="8" spans="1:8" s="4" customFormat="1" x14ac:dyDescent="0.2">
      <c r="A8" s="4" t="s">
        <v>8</v>
      </c>
      <c r="B8" s="4">
        <v>25</v>
      </c>
      <c r="C8" s="4">
        <f t="shared" si="0"/>
        <v>1963.4954084936207</v>
      </c>
      <c r="D8" s="5">
        <v>0.10147407839005768</v>
      </c>
      <c r="E8" s="5">
        <v>0.14443182590254647</v>
      </c>
      <c r="F8" s="5">
        <v>0.10925297715087423</v>
      </c>
      <c r="G8" s="5">
        <v>0.91912288879990178</v>
      </c>
      <c r="H8" s="5">
        <v>0</v>
      </c>
    </row>
    <row r="9" spans="1:8" s="4" customFormat="1" x14ac:dyDescent="0.2">
      <c r="A9" s="4" t="s">
        <v>8</v>
      </c>
      <c r="B9" s="4">
        <v>50</v>
      </c>
      <c r="C9" s="4">
        <f t="shared" si="0"/>
        <v>7853.981633974483</v>
      </c>
      <c r="D9" s="5">
        <v>0.31813509598641337</v>
      </c>
      <c r="E9" s="5">
        <v>0.12593942602581004</v>
      </c>
      <c r="F9" s="5">
        <v>7.5801628873777713E-2</v>
      </c>
      <c r="G9" s="5">
        <v>0.94635140116042549</v>
      </c>
      <c r="H9" s="5">
        <v>6.1313359572539652E-3</v>
      </c>
    </row>
    <row r="10" spans="1:8" x14ac:dyDescent="0.2">
      <c r="A10" t="s">
        <v>11</v>
      </c>
      <c r="B10">
        <v>25</v>
      </c>
      <c r="C10">
        <f t="shared" si="0"/>
        <v>1963.4954084936207</v>
      </c>
      <c r="D10" s="1">
        <v>0.12241496463921113</v>
      </c>
      <c r="E10" s="1">
        <v>0.27421144438176531</v>
      </c>
      <c r="F10" s="1">
        <v>0.49639214015160588</v>
      </c>
      <c r="G10" s="1">
        <v>0.53885158856150051</v>
      </c>
      <c r="H10" s="1">
        <v>0</v>
      </c>
    </row>
    <row r="11" spans="1:8" x14ac:dyDescent="0.2">
      <c r="A11" t="s">
        <v>11</v>
      </c>
      <c r="B11">
        <v>50</v>
      </c>
      <c r="C11">
        <f t="shared" si="0"/>
        <v>7853.981633974483</v>
      </c>
      <c r="D11" s="1">
        <v>0.27662380831167838</v>
      </c>
      <c r="E11" s="1">
        <v>0.21271631636787552</v>
      </c>
      <c r="F11" s="1">
        <v>0.31003584009754909</v>
      </c>
      <c r="G11" s="1">
        <v>0.6728488349323748</v>
      </c>
      <c r="H11" s="1">
        <v>0</v>
      </c>
    </row>
    <row r="12" spans="1:8" s="4" customFormat="1" x14ac:dyDescent="0.2">
      <c r="A12" s="4" t="s">
        <v>12</v>
      </c>
      <c r="B12" s="4">
        <v>25</v>
      </c>
      <c r="C12" s="4">
        <f t="shared" si="0"/>
        <v>1963.4954084936207</v>
      </c>
      <c r="D12" s="5">
        <v>0.31729945397630105</v>
      </c>
      <c r="E12" s="5">
        <v>0.20234292796477951</v>
      </c>
      <c r="F12" s="5">
        <v>0.39955324245034962</v>
      </c>
      <c r="G12" s="5">
        <v>0.70225340789457713</v>
      </c>
      <c r="H12" s="5">
        <v>0</v>
      </c>
    </row>
    <row r="13" spans="1:8" s="4" customFormat="1" x14ac:dyDescent="0.2">
      <c r="A13" s="4" t="s">
        <v>12</v>
      </c>
      <c r="B13" s="4">
        <v>50</v>
      </c>
      <c r="C13" s="4">
        <f t="shared" si="0"/>
        <v>7853.981633974483</v>
      </c>
      <c r="D13" s="5">
        <v>0.1953051340691464</v>
      </c>
      <c r="E13" s="5">
        <v>0.21624574084221979</v>
      </c>
      <c r="F13" s="5">
        <v>0.2755993655035624</v>
      </c>
      <c r="G13" s="5">
        <v>0.67709325700433343</v>
      </c>
      <c r="H13" s="5">
        <v>0</v>
      </c>
    </row>
    <row r="14" spans="1:8" x14ac:dyDescent="0.2">
      <c r="A14" t="s">
        <v>9</v>
      </c>
      <c r="B14">
        <v>25</v>
      </c>
      <c r="C14">
        <f t="shared" si="0"/>
        <v>1963.4954084936207</v>
      </c>
      <c r="D14" s="1">
        <v>0.22324629082595798</v>
      </c>
      <c r="E14" s="1">
        <v>0</v>
      </c>
      <c r="F14" s="1">
        <v>0.17117328084706443</v>
      </c>
      <c r="G14" s="1">
        <v>0.95481032239250629</v>
      </c>
      <c r="H14" s="1">
        <v>0</v>
      </c>
    </row>
    <row r="15" spans="1:8" x14ac:dyDescent="0.2">
      <c r="A15" t="s">
        <v>9</v>
      </c>
      <c r="B15">
        <v>50</v>
      </c>
      <c r="C15">
        <f t="shared" si="0"/>
        <v>7853.981633974483</v>
      </c>
      <c r="D15" s="1">
        <v>0.16300223461970975</v>
      </c>
      <c r="E15" s="1">
        <v>9.0299167104253527E-5</v>
      </c>
      <c r="F15" s="1">
        <v>0.2543856283489867</v>
      </c>
      <c r="G15" s="1">
        <v>0.92511000962490997</v>
      </c>
      <c r="H15" s="1">
        <v>0</v>
      </c>
    </row>
    <row r="16" spans="1:8" s="4" customFormat="1" x14ac:dyDescent="0.2">
      <c r="A16" s="4" t="s">
        <v>13</v>
      </c>
      <c r="B16" s="4">
        <v>25</v>
      </c>
      <c r="C16" s="4">
        <f t="shared" si="0"/>
        <v>1963.4954084936207</v>
      </c>
      <c r="D16" s="5">
        <v>0.182206613497748</v>
      </c>
      <c r="E16" s="5">
        <v>0.12073291690652313</v>
      </c>
      <c r="F16" s="5">
        <v>7.4042434920454425E-2</v>
      </c>
      <c r="G16" s="5">
        <v>0.8689085747895412</v>
      </c>
      <c r="H16" s="5">
        <v>0</v>
      </c>
    </row>
    <row r="17" spans="1:8" s="4" customFormat="1" x14ac:dyDescent="0.2">
      <c r="A17" s="4" t="s">
        <v>13</v>
      </c>
      <c r="B17" s="4">
        <v>50</v>
      </c>
      <c r="C17" s="4">
        <f t="shared" si="0"/>
        <v>7853.981633974483</v>
      </c>
      <c r="D17" s="5">
        <v>0.29424566935618429</v>
      </c>
      <c r="E17" s="5">
        <v>4.9447401725520992E-2</v>
      </c>
      <c r="F17" s="5">
        <v>6.8503417002228756E-2</v>
      </c>
      <c r="G17" s="5">
        <v>0.95449207234858113</v>
      </c>
      <c r="H17" s="5">
        <v>0</v>
      </c>
    </row>
    <row r="18" spans="1:8" x14ac:dyDescent="0.2">
      <c r="A18" t="s">
        <v>7</v>
      </c>
      <c r="B18">
        <v>25</v>
      </c>
      <c r="C18">
        <f t="shared" si="0"/>
        <v>1963.4954084936207</v>
      </c>
      <c r="D18" s="1">
        <v>0</v>
      </c>
      <c r="E18" s="1">
        <v>0</v>
      </c>
      <c r="F18" s="1">
        <v>1.5496820042652451E-2</v>
      </c>
      <c r="G18" s="1">
        <v>0.99966341021692129</v>
      </c>
      <c r="H18" s="1">
        <v>0</v>
      </c>
    </row>
    <row r="19" spans="1:8" x14ac:dyDescent="0.2">
      <c r="A19" t="s">
        <v>7</v>
      </c>
      <c r="B19">
        <v>50</v>
      </c>
      <c r="C19">
        <f t="shared" si="0"/>
        <v>7853.981633974483</v>
      </c>
      <c r="D19" s="1">
        <v>0</v>
      </c>
      <c r="E19" s="1">
        <v>0</v>
      </c>
      <c r="F19" s="1">
        <v>4.110788324273397E-3</v>
      </c>
      <c r="G19" s="1">
        <v>0.99969046108231696</v>
      </c>
      <c r="H19" s="1">
        <v>6.7961768804122746E-2</v>
      </c>
    </row>
    <row r="20" spans="1:8" s="4" customFormat="1" x14ac:dyDescent="0.2">
      <c r="A20" s="4" t="s">
        <v>2</v>
      </c>
      <c r="B20" s="4">
        <v>25</v>
      </c>
      <c r="C20" s="4">
        <f t="shared" si="0"/>
        <v>1963.4954084936207</v>
      </c>
      <c r="D20" s="5">
        <v>0</v>
      </c>
      <c r="E20" s="5">
        <v>8.1853508953862245E-2</v>
      </c>
      <c r="F20" s="5">
        <v>8.6523651272674695E-2</v>
      </c>
      <c r="G20" s="5">
        <v>0.88776798583772354</v>
      </c>
      <c r="H20" s="5">
        <v>2.7270926006942055E-2</v>
      </c>
    </row>
    <row r="21" spans="1:8" s="4" customFormat="1" x14ac:dyDescent="0.2">
      <c r="A21" s="4" t="s">
        <v>2</v>
      </c>
      <c r="B21" s="4">
        <v>50</v>
      </c>
      <c r="C21" s="4">
        <f t="shared" si="0"/>
        <v>7853.981633974483</v>
      </c>
      <c r="D21" s="5">
        <v>2.6562247879159961E-2</v>
      </c>
      <c r="E21" s="5">
        <v>2.3046345718076587E-2</v>
      </c>
      <c r="F21" s="5">
        <v>8.9988169432775156E-2</v>
      </c>
      <c r="G21" s="5">
        <v>0.91311788392492443</v>
      </c>
      <c r="H21" s="5">
        <v>0.11804189075125765</v>
      </c>
    </row>
    <row r="22" spans="1:8" x14ac:dyDescent="0.2">
      <c r="A22" t="s">
        <v>3</v>
      </c>
      <c r="B22">
        <v>25</v>
      </c>
      <c r="C22">
        <f t="shared" si="0"/>
        <v>1963.4954084936207</v>
      </c>
      <c r="D22" s="1">
        <v>0</v>
      </c>
      <c r="E22" s="1">
        <v>5.1349044955165513E-2</v>
      </c>
      <c r="F22" s="1">
        <v>0.23806599138350809</v>
      </c>
      <c r="G22" s="1">
        <v>0.99966542550047277</v>
      </c>
      <c r="H22" s="1">
        <v>0</v>
      </c>
    </row>
    <row r="23" spans="1:8" x14ac:dyDescent="0.2">
      <c r="A23" t="s">
        <v>3</v>
      </c>
      <c r="B23">
        <v>50</v>
      </c>
      <c r="C23">
        <f t="shared" si="0"/>
        <v>7853.981633974483</v>
      </c>
      <c r="D23" s="1">
        <v>6.3559617944686148E-2</v>
      </c>
      <c r="E23" s="1">
        <v>3.9135680642590952E-2</v>
      </c>
      <c r="F23" s="1">
        <v>0.14184572780013449</v>
      </c>
      <c r="G23" s="1">
        <v>0.96721521134444255</v>
      </c>
      <c r="H23" s="1">
        <v>0</v>
      </c>
    </row>
    <row r="24" spans="1:8" s="4" customFormat="1" x14ac:dyDescent="0.2">
      <c r="A24" s="4" t="s">
        <v>6</v>
      </c>
      <c r="B24" s="4">
        <v>25</v>
      </c>
      <c r="C24" s="4">
        <f t="shared" si="0"/>
        <v>1963.4954084936207</v>
      </c>
      <c r="D24" s="5">
        <v>0.26260258148277471</v>
      </c>
      <c r="E24" s="5">
        <v>0.25422533907678435</v>
      </c>
      <c r="F24" s="5">
        <v>0.15955953532906766</v>
      </c>
      <c r="G24" s="5">
        <v>0.81785311697367147</v>
      </c>
      <c r="H24" s="5">
        <v>0</v>
      </c>
    </row>
    <row r="25" spans="1:8" s="4" customFormat="1" x14ac:dyDescent="0.2">
      <c r="A25" s="4" t="s">
        <v>6</v>
      </c>
      <c r="B25" s="4">
        <v>50</v>
      </c>
      <c r="C25" s="4">
        <f t="shared" si="0"/>
        <v>7853.981633974483</v>
      </c>
      <c r="D25" s="5">
        <v>0.13115315988824564</v>
      </c>
      <c r="E25" s="5">
        <v>0.11522455363090046</v>
      </c>
      <c r="F25" s="5">
        <v>0.11895762334845249</v>
      </c>
      <c r="G25" s="5">
        <v>0.91177983126708007</v>
      </c>
      <c r="H25" s="5">
        <v>0</v>
      </c>
    </row>
  </sheetData>
  <autoFilter ref="A1:H25" xr:uid="{69F0FDA6-FEA0-4AE4-9076-47A10B672CAE}"/>
  <sortState xmlns:xlrd2="http://schemas.microsoft.com/office/spreadsheetml/2017/richdata2" ref="A2:H25">
    <sortCondition ref="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A948-4BE8-8C48-8B49-EE0EB6A7CC49}">
  <dimension ref="A1:B22"/>
  <sheetViews>
    <sheetView tabSelected="1" workbookViewId="0">
      <selection activeCell="F20" sqref="F20"/>
    </sheetView>
  </sheetViews>
  <sheetFormatPr baseColWidth="10" defaultRowHeight="16" x14ac:dyDescent="0.2"/>
  <cols>
    <col min="1" max="16384" width="10.83203125" style="7"/>
  </cols>
  <sheetData>
    <row r="1" spans="1:2" s="7" customFormat="1" x14ac:dyDescent="0.2">
      <c r="A1" s="6" t="s">
        <v>14</v>
      </c>
    </row>
    <row r="2" spans="1:2" s="7" customFormat="1" x14ac:dyDescent="0.2">
      <c r="A2" s="8" t="s">
        <v>24</v>
      </c>
    </row>
    <row r="3" spans="1:2" s="7" customFormat="1" x14ac:dyDescent="0.2">
      <c r="A3" s="9" t="s">
        <v>15</v>
      </c>
    </row>
    <row r="5" spans="1:2" s="7" customFormat="1" x14ac:dyDescent="0.2">
      <c r="A5" s="6" t="s">
        <v>36</v>
      </c>
    </row>
    <row r="7" spans="1:2" s="7" customFormat="1" x14ac:dyDescent="0.2">
      <c r="A7" s="9" t="s">
        <v>16</v>
      </c>
    </row>
    <row r="9" spans="1:2" s="7" customFormat="1" x14ac:dyDescent="0.2">
      <c r="A9" s="9" t="s">
        <v>17</v>
      </c>
    </row>
    <row r="12" spans="1:2" s="7" customFormat="1" x14ac:dyDescent="0.2">
      <c r="A12" s="10" t="s">
        <v>25</v>
      </c>
    </row>
    <row r="13" spans="1:2" s="7" customFormat="1" x14ac:dyDescent="0.2">
      <c r="A13" s="7" t="s">
        <v>26</v>
      </c>
      <c r="B13" s="7" t="s">
        <v>27</v>
      </c>
    </row>
    <row r="14" spans="1:2" s="7" customFormat="1" x14ac:dyDescent="0.2">
      <c r="A14" s="7" t="s">
        <v>0</v>
      </c>
      <c r="B14" s="7" t="s">
        <v>28</v>
      </c>
    </row>
    <row r="15" spans="1:2" s="7" customFormat="1" x14ac:dyDescent="0.2">
      <c r="A15" s="7" t="s">
        <v>1</v>
      </c>
      <c r="B15" s="7" t="s">
        <v>29</v>
      </c>
    </row>
    <row r="16" spans="1:2" s="7" customFormat="1" x14ac:dyDescent="0.2">
      <c r="A16" s="7" t="s">
        <v>18</v>
      </c>
      <c r="B16" s="7" t="s">
        <v>30</v>
      </c>
    </row>
    <row r="17" spans="1:2" s="7" customFormat="1" x14ac:dyDescent="0.2">
      <c r="A17" s="7" t="s">
        <v>19</v>
      </c>
      <c r="B17" s="7" t="s">
        <v>31</v>
      </c>
    </row>
    <row r="18" spans="1:2" s="7" customFormat="1" x14ac:dyDescent="0.2">
      <c r="A18" s="7" t="s">
        <v>20</v>
      </c>
      <c r="B18" s="7" t="s">
        <v>33</v>
      </c>
    </row>
    <row r="19" spans="1:2" s="7" customFormat="1" x14ac:dyDescent="0.2">
      <c r="A19" s="7" t="s">
        <v>21</v>
      </c>
      <c r="B19" s="7" t="s">
        <v>32</v>
      </c>
    </row>
    <row r="20" spans="1:2" s="7" customFormat="1" x14ac:dyDescent="0.2">
      <c r="A20" s="7" t="s">
        <v>22</v>
      </c>
      <c r="B20" s="7" t="s">
        <v>34</v>
      </c>
    </row>
    <row r="21" spans="1:2" s="7" customFormat="1" x14ac:dyDescent="0.2">
      <c r="A21" s="11" t="s">
        <v>23</v>
      </c>
      <c r="B21" s="7" t="s">
        <v>35</v>
      </c>
    </row>
    <row r="22" spans="1:2" s="7" customFormat="1" x14ac:dyDescent="0.2"/>
  </sheetData>
  <hyperlinks>
    <hyperlink ref="A3" r:id="rId1" display="https://urldefense.com/v3/__https:/www.mass.gov/info-details/massgis-data-2016-land-coverland-use__;!!CYGGtyGZyw!B41yRhF8aNczKjzKdO6PewpSj8AJUo5FFMCHL0i8xM5ybg_vRlGqFsP-j75csDzIK5Gp8NWhFlaD7ZEJv498MjGjcBCKL8No$" xr:uid="{3E260EEA-51D4-CC4E-B169-EFE963B3F98D}"/>
    <hyperlink ref="A7" r:id="rId2" display="https://urldefense.com/v3/__https:/www.mass.gov/info-details/massgis-data-protected-and-recreational-openspace__;!!CYGGtyGZyw!B41yRhF8aNczKjzKdO6PewpSj8AJUo5FFMCHL0i8xM5ybg_vRlGqFsP-j75csDzIK5Gp8NWhFlaD7ZEJv498MjGjcBhD2C7N$" xr:uid="{38895596-FB98-3744-BF23-9A88C01B00D2}"/>
    <hyperlink ref="A9" r:id="rId3" display="https://urldefense.com/v3/__https:/data.boston.gov/dataset/canopy-change-assessment-2019-tree-canopy-polygons__;!!CYGGtyGZyw!B41yRhF8aNczKjzKdO6PewpSj8AJUo5FFMCHL0i8xM5ybg_vRlGqFsP-j75csDzIK5Gp8NWhFlaD7ZEJv498MjGjcEFD4jDq$" xr:uid="{BBE3D63C-432B-4544-AD63-A01EC46AD5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Tufts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Chad E</dc:creator>
  <cp:lastModifiedBy>MyDzung Chu</cp:lastModifiedBy>
  <dcterms:created xsi:type="dcterms:W3CDTF">2024-05-31T20:14:07Z</dcterms:created>
  <dcterms:modified xsi:type="dcterms:W3CDTF">2024-07-22T20:01:18Z</dcterms:modified>
</cp:coreProperties>
</file>